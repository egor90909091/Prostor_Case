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/>
</workbook>
</file>

<file path=xl/sharedStrings.xml><?xml version="1.0" encoding="utf-8"?>
<sst xmlns="http://schemas.openxmlformats.org/spreadsheetml/2006/main" count="43" uniqueCount="43">
  <si>
    <t xml:space="preserve">Приложение № 3</t>
  </si>
  <si>
    <t xml:space="preserve">к Заказу на выполнение работ </t>
  </si>
  <si>
    <t xml:space="preserve">Расчет стоимости работ </t>
  </si>
  <si>
    <t xml:space="preserve">на выполнение работ по теме</t>
  </si>
  <si>
    <t xml:space="preserve">Тема работы согласно производственой программы</t>
  </si>
  <si>
    <t xml:space="preserve">1. Стоимость выполнения работ:</t>
  </si>
  <si>
    <t xml:space="preserve">№ пп</t>
  </si>
  <si>
    <t xml:space="preserve">Наименование работ</t>
  </si>
  <si>
    <t xml:space="preserve">Стоимость работ, руб. без НДС</t>
  </si>
  <si>
    <t xml:space="preserve">Формирование базы данных. Литолого-стратиграфическое расчленение разреза по материалам ГИС. Создание петрофизической модели. Переинтерпретация данных ГИС. Анализ результатов сейсморазведочных работ. Выделение и обоснование подсчетных объектов. Построение трехмерной модели.</t>
  </si>
  <si>
    <t xml:space="preserve">Построение двухмерной модели, подсчет начальных геологических запасов УВ.</t>
  </si>
  <si>
    <t xml:space="preserve">Подготовка разделов отчета по подсчету геологических запасов УВ. Оформление отчета по подсчету геологических запасов УВ.  Согласование материалов ПЗ на ГТС Заказчика. </t>
  </si>
  <si>
    <t xml:space="preserve">Экспертиза и защита ПЗ в ФБУ ГКЗ. Оформление итогового отчета и  передача Заказчику, в фонды. Актуализация паспорта месторождения</t>
  </si>
  <si>
    <t xml:space="preserve">Итого без НДС </t>
  </si>
  <si>
    <t xml:space="preserve">Итого НДС (22%) </t>
  </si>
  <si>
    <t xml:space="preserve">Итого с НДС </t>
  </si>
  <si>
    <t xml:space="preserve">2. Ставки Исполнителя (если расчёт на основании ставок Исполнителя):</t>
  </si>
  <si>
    <t>Должность</t>
  </si>
  <si>
    <t xml:space="preserve">Ставка в день, руб., без НДС</t>
  </si>
  <si>
    <t xml:space="preserve">Расчёт стоимости </t>
  </si>
  <si>
    <t xml:space="preserve">Загрузка, FTE</t>
  </si>
  <si>
    <t xml:space="preserve">Продол-ть,  раб.дн.</t>
  </si>
  <si>
    <t xml:space="preserve">Стоимость, руб., </t>
  </si>
  <si>
    <t xml:space="preserve">лицензирование и недропользование, L3</t>
  </si>
  <si>
    <t xml:space="preserve">геология и разработка, L3</t>
  </si>
  <si>
    <t xml:space="preserve">геология и разработка, L4</t>
  </si>
  <si>
    <t xml:space="preserve">лицензирование и недропользование, L5</t>
  </si>
  <si>
    <t xml:space="preserve">субподрядные работы</t>
  </si>
  <si>
    <t>ЗАКАЗЧИК</t>
  </si>
  <si>
    <t>ИСПОЛНИТЕЛЬ:</t>
  </si>
  <si>
    <t xml:space="preserve">_____________________  /</t>
  </si>
  <si>
    <t xml:space="preserve">________________/ </t>
  </si>
  <si>
    <t>М.П.</t>
  </si>
  <si>
    <t>Стоимость</t>
  </si>
  <si>
    <t>Петрофизик</t>
  </si>
  <si>
    <t xml:space="preserve">Специалист по керну</t>
  </si>
  <si>
    <t>Буровик</t>
  </si>
  <si>
    <t>Геолог</t>
  </si>
  <si>
    <t xml:space="preserve">Итого НДС </t>
  </si>
  <si>
    <t xml:space="preserve">Подписи сторон</t>
  </si>
  <si>
    <t xml:space="preserve">От Заказчика:</t>
  </si>
  <si>
    <t xml:space="preserve">От Исполнителя:</t>
  </si>
  <si>
    <t>_______________/ФИО/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</si>
</sst>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0" formatCode="_-* #,##0.00_р_._-;\-* #,##0.00_р_._-;_-* &quot;-&quot;??_р_._-;_-@_-"/>
    <numFmt numFmtId="161" formatCode="_-* #,##0_р_._-;\-* #,##0_р_._-;_-* &quot;-&quot;??_р_._-;_-@_-"/>
    <numFmt numFmtId="162" formatCode="_-* #,##0.00\ _₽_-;\-* #,##0.00\ _₽_-;_-* &quot;-&quot;??\ _₽_-;_-@_-"/>
    <numFmt numFmtId="163" formatCode="_-* #,##0\ _₽_-;\-* #,##0\ _₽_-;_-* &quot;-&quot;??\ _₽_-;_-@_-"/>
    <numFmt numFmtId="164" formatCode="0.000"/>
    <numFmt numFmtId="165" formatCode="_-* #,##0.0000\ _₽_-;\-* #,##0.0000\ _₽_-;_-* &quot;-&quot;????\ _₽_-;_-@_-"/>
    <numFmt numFmtId="166" formatCode="_-* #,##0.000000000\ _₽_-;\-* #,##0.000000000\ _₽_-;_-* &quot;-&quot;????\ _₽_-;_-@_-"/>
    <numFmt numFmtId="167" formatCode="0.000000000"/>
  </numFmts>
  <fonts count="18">
    <font>
      <sz val="11.000000"/>
      <color theme="1"/>
      <name val="Calibri"/>
      <scheme val="minor"/>
    </font>
    <font>
      <sz val="11.000000"/>
      <color theme="1"/>
      <name val="Arial"/>
    </font>
    <font>
      <b/>
      <sz val="11.500000"/>
      <color theme="1"/>
      <name val="Arial"/>
    </font>
    <font>
      <sz val="11.500000"/>
      <color theme="1"/>
      <name val="Arial"/>
    </font>
    <font>
      <sz val="12.000000"/>
      <color theme="1"/>
      <name val="Arial"/>
    </font>
    <font>
      <sz val="10.500000"/>
      <color theme="1"/>
      <name val="Arial"/>
    </font>
    <font>
      <b/>
      <sz val="11.000000"/>
      <color theme="1"/>
      <name val="Arial"/>
    </font>
    <font>
      <b/>
      <sz val="11.000000"/>
      <name val="Arial"/>
    </font>
    <font>
      <sz val="11.000000"/>
      <name val="Arial"/>
    </font>
    <font>
      <i/>
      <sz val="11.000000"/>
      <color theme="1" tint="0.499984740745262"/>
      <name val="Arial"/>
    </font>
    <font>
      <i/>
      <sz val="11.000000"/>
      <name val="Arial"/>
    </font>
    <font>
      <b/>
      <sz val="11.000000"/>
      <color theme="0"/>
      <name val="Arial"/>
    </font>
    <font>
      <sz val="11.000000"/>
      <color theme="0"/>
      <name val="Arial"/>
    </font>
    <font>
      <sz val="8.000000"/>
      <color theme="0"/>
      <name val="Arial"/>
    </font>
    <font>
      <b/>
      <sz val="8.000000"/>
      <color theme="0"/>
      <name val="Arial"/>
    </font>
    <font>
      <sz val="11.000000"/>
      <color theme="3"/>
      <name val="Arial"/>
    </font>
    <font>
      <sz val="9.000000"/>
      <color theme="0"/>
      <name val="Arial"/>
    </font>
    <font>
      <sz val="10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4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9" applyNumberFormat="1" applyFont="0" applyFill="0" applyBorder="0" applyProtection="0"/>
    <xf fontId="0" fillId="0" borderId="0" numFmtId="160" applyNumberFormat="1" applyFont="0" applyFill="0" applyBorder="0" applyProtection="0"/>
  </cellStyleXfs>
  <cellXfs count="80">
    <xf fontId="0" fillId="0" borderId="0" numFmtId="0" xfId="0"/>
    <xf fontId="1" fillId="0" borderId="0" numFmtId="0" xfId="0" applyFont="1"/>
    <xf fontId="2" fillId="0" borderId="0" numFmtId="0" xfId="0" applyFont="1" applyAlignment="1">
      <alignment horizontal="right" vertical="center"/>
    </xf>
    <xf fontId="3" fillId="0" borderId="0" numFmtId="0" xfId="0" applyFont="1" applyAlignment="1">
      <alignment horizontal="right" vertical="center"/>
    </xf>
    <xf fontId="4" fillId="0" borderId="0" numFmtId="0" xfId="0" applyFont="1" applyAlignment="1">
      <alignment horizontal="right" vertical="center"/>
    </xf>
    <xf fontId="5" fillId="0" borderId="0" numFmtId="0" xfId="0" applyFont="1" applyAlignment="1">
      <alignment horizontal="right" vertical="center"/>
    </xf>
    <xf fontId="6" fillId="0" borderId="0" numFmtId="0" xfId="0" applyFont="1" applyAlignment="1">
      <alignment horizontal="center" vertical="center"/>
    </xf>
    <xf fontId="1" fillId="0" borderId="0" numFmtId="0" xfId="1" applyFont="1" applyAlignment="1" applyProtection="1">
      <alignment horizontal="center" vertical="center"/>
    </xf>
    <xf fontId="6" fillId="0" borderId="0" numFmtId="0" xfId="0" applyFont="1" applyAlignment="1">
      <alignment horizontal="center" vertical="center" wrapText="1"/>
    </xf>
    <xf fontId="0" fillId="0" borderId="0" numFmtId="0" xfId="0"/>
    <xf fontId="6" fillId="0" borderId="0" numFmtId="0" xfId="0" applyFont="1"/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horizontal="left" vertical="center" wrapText="1"/>
    </xf>
    <xf fontId="8" fillId="0" borderId="1" numFmtId="160" xfId="0" applyNumberFormat="1" applyFont="1" applyBorder="1" applyAlignment="1">
      <alignment horizontal="center" vertical="center" wrapText="1"/>
    </xf>
    <xf fontId="9" fillId="0" borderId="0" numFmtId="0" xfId="0" applyFont="1" applyAlignment="1">
      <alignment horizontal="center" vertical="center" wrapText="1"/>
    </xf>
    <xf fontId="10" fillId="0" borderId="0" numFmtId="0" xfId="0" applyFont="1" applyAlignment="1">
      <alignment horizontal="justify" vertical="top" wrapText="1"/>
    </xf>
    <xf fontId="6" fillId="0" borderId="2" numFmtId="0" xfId="0" applyFont="1" applyBorder="1" applyAlignment="1">
      <alignment horizontal="right" vertical="center" wrapText="1"/>
    </xf>
    <xf fontId="6" fillId="0" borderId="3" numFmtId="0" xfId="0" applyFont="1" applyBorder="1" applyAlignment="1">
      <alignment horizontal="right" vertical="center" wrapText="1"/>
    </xf>
    <xf fontId="6" fillId="0" borderId="4" numFmtId="0" xfId="0" applyFont="1" applyBorder="1" applyAlignment="1">
      <alignment horizontal="right" vertical="center" wrapText="1"/>
    </xf>
    <xf fontId="7" fillId="0" borderId="1" numFmtId="160" xfId="0" applyNumberFormat="1" applyFont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right" vertical="center" wrapText="1"/>
    </xf>
    <xf fontId="7" fillId="0" borderId="0" numFmtId="0" xfId="0" applyFont="1" applyAlignment="1">
      <alignment horizontal="center" vertical="center" wrapText="1"/>
    </xf>
    <xf fontId="7" fillId="0" borderId="0" numFmtId="161" xfId="0" applyNumberFormat="1" applyFont="1" applyAlignment="1">
      <alignment horizontal="center" vertical="center" wrapText="1"/>
    </xf>
    <xf fontId="1" fillId="0" borderId="0" numFmtId="3" xfId="0" applyNumberFormat="1" applyFont="1"/>
    <xf fontId="11" fillId="2" borderId="1" numFmtId="0" xfId="0" applyFont="1" applyFill="1" applyBorder="1" applyAlignment="1">
      <alignment horizontal="center" vertical="center" wrapText="1"/>
    </xf>
    <xf fontId="11" fillId="2" borderId="5" numFmtId="0" xfId="0" applyFont="1" applyFill="1" applyBorder="1" applyAlignment="1">
      <alignment horizontal="center" vertical="center" wrapText="1"/>
    </xf>
    <xf fontId="11" fillId="2" borderId="2" numFmtId="0" xfId="0" applyFont="1" applyFill="1" applyBorder="1" applyAlignment="1">
      <alignment horizontal="center" vertical="center" wrapText="1"/>
    </xf>
    <xf fontId="11" fillId="2" borderId="3" numFmtId="0" xfId="0" applyFont="1" applyFill="1" applyBorder="1" applyAlignment="1">
      <alignment horizontal="center" vertical="center" wrapText="1"/>
    </xf>
    <xf fontId="11" fillId="2" borderId="4" numFmtId="0" xfId="0" applyFont="1" applyFill="1" applyBorder="1" applyAlignment="1">
      <alignment horizontal="center" vertical="center" wrapText="1"/>
    </xf>
    <xf fontId="11" fillId="2" borderId="6" numFmtId="0" xfId="0" applyFont="1" applyFill="1" applyBorder="1" applyAlignment="1">
      <alignment horizontal="center" vertical="center" wrapText="1"/>
    </xf>
    <xf fontId="12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6" fillId="3" borderId="2" numFmtId="0" xfId="0" applyFont="1" applyFill="1" applyBorder="1" applyAlignment="1">
      <alignment horizontal="center" vertical="center" wrapText="1"/>
    </xf>
    <xf fontId="6" fillId="3" borderId="3" numFmtId="0" xfId="0" applyFont="1" applyFill="1" applyBorder="1" applyAlignment="1">
      <alignment horizontal="center" vertical="center" wrapText="1"/>
    </xf>
    <xf fontId="6" fillId="3" borderId="4" numFmtId="0" xfId="0" applyFont="1" applyFill="1" applyBorder="1" applyAlignment="1">
      <alignment horizontal="center" vertical="center" wrapText="1"/>
    </xf>
    <xf fontId="7" fillId="3" borderId="1" numFmtId="160" xfId="0" applyNumberFormat="1" applyFont="1" applyFill="1" applyBorder="1" applyAlignment="1">
      <alignment horizontal="center" vertical="center" wrapText="1"/>
    </xf>
    <xf fontId="1" fillId="0" borderId="7" numFmtId="162" xfId="0" applyNumberFormat="1" applyFont="1" applyBorder="1"/>
    <xf fontId="8" fillId="4" borderId="1" numFmtId="0" xfId="0" applyFont="1" applyFill="1" applyBorder="1" applyAlignment="1">
      <alignment horizontal="center" vertical="center" wrapText="1"/>
    </xf>
    <xf fontId="8" fillId="4" borderId="1" numFmtId="0" xfId="0" applyFont="1" applyFill="1" applyBorder="1" applyAlignment="1">
      <alignment vertical="center" wrapText="1"/>
    </xf>
    <xf fontId="1" fillId="0" borderId="1" numFmtId="163" xfId="0" applyNumberFormat="1" applyFont="1" applyBorder="1"/>
    <xf fontId="8" fillId="4" borderId="1" numFmtId="2" xfId="0" applyNumberFormat="1" applyFont="1" applyFill="1" applyBorder="1" applyAlignment="1">
      <alignment horizontal="center" vertical="center" wrapText="1"/>
    </xf>
    <xf fontId="8" fillId="4" borderId="0" numFmtId="2" xfId="0" applyNumberFormat="1" applyFont="1" applyFill="1" applyAlignment="1">
      <alignment horizontal="center" vertical="center" wrapText="1"/>
    </xf>
    <xf fontId="7" fillId="0" borderId="0" numFmtId="160" xfId="0" applyNumberFormat="1" applyFont="1" applyAlignment="1">
      <alignment horizontal="center" vertical="center" wrapText="1"/>
    </xf>
    <xf fontId="1" fillId="0" borderId="7" numFmtId="0" xfId="0" applyFont="1" applyBorder="1"/>
    <xf fontId="7" fillId="0" borderId="7" numFmtId="10" xfId="2" applyNumberFormat="1" applyFont="1" applyBorder="1" applyAlignment="1">
      <alignment horizontal="center" vertical="center" wrapText="1"/>
    </xf>
    <xf fontId="1" fillId="0" borderId="0" numFmtId="162" xfId="0" applyNumberFormat="1" applyFont="1"/>
    <xf fontId="7" fillId="0" borderId="7" numFmtId="160" xfId="0" applyNumberFormat="1" applyFont="1" applyBorder="1" applyAlignment="1">
      <alignment horizontal="center" vertical="center" wrapText="1"/>
    </xf>
    <xf fontId="6" fillId="0" borderId="0" numFmtId="0" xfId="0" applyFont="1" applyAlignment="1">
      <alignment horizontal="left"/>
    </xf>
    <xf fontId="0" fillId="0" borderId="0" numFmtId="0" xfId="0" applyAlignment="1">
      <alignment horizontal="left"/>
    </xf>
    <xf fontId="7" fillId="0" borderId="0" numFmtId="0" xfId="0" applyFont="1" applyAlignment="1">
      <alignment horizontal="left" vertical="center" wrapText="1"/>
    </xf>
    <xf fontId="1" fillId="0" borderId="0" numFmtId="0" xfId="0" applyFont="1" applyAlignment="1">
      <alignment vertical="top" wrapText="1"/>
    </xf>
    <xf fontId="8" fillId="0" borderId="0" numFmtId="0" xfId="0" applyFont="1" applyAlignment="1">
      <alignment horizontal="left" vertical="center" wrapText="1"/>
    </xf>
    <xf fontId="1" fillId="0" borderId="0" numFmtId="4" xfId="0" applyNumberFormat="1" applyFont="1"/>
    <xf fontId="8" fillId="0" borderId="0" numFmtId="0" xfId="0" applyFont="1" applyAlignment="1">
      <alignment horizontal="justify" vertical="center" wrapText="1"/>
    </xf>
    <xf fontId="6" fillId="0" borderId="0" numFmtId="0" xfId="0" applyFont="1" applyAlignment="1">
      <alignment vertical="center"/>
    </xf>
    <xf fontId="1" fillId="0" borderId="0" numFmtId="0" xfId="0" applyFont="1" applyAlignment="1">
      <alignment horizontal="left" vertical="center" wrapText="1"/>
    </xf>
    <xf fontId="0" fillId="0" borderId="0" numFmtId="0" xfId="0" applyAlignment="1">
      <alignment vertical="top" wrapText="1"/>
    </xf>
    <xf fontId="13" fillId="2" borderId="1" numFmtId="0" xfId="0" applyFont="1" applyFill="1" applyBorder="1" applyAlignment="1">
      <alignment horizontal="center" vertical="center" wrapText="1"/>
    </xf>
    <xf fontId="14" fillId="2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center" vertical="center" wrapText="1"/>
    </xf>
    <xf fontId="9" fillId="4" borderId="1" numFmtId="0" xfId="0" applyFont="1" applyFill="1" applyBorder="1" applyAlignment="1">
      <alignment horizontal="left" vertical="center" wrapText="1"/>
    </xf>
    <xf fontId="15" fillId="4" borderId="1" numFmtId="161" xfId="3" applyNumberFormat="1" applyFont="1" applyFill="1" applyBorder="1" applyAlignment="1">
      <alignment horizontal="center" vertical="center" wrapText="1"/>
    </xf>
    <xf fontId="1" fillId="4" borderId="1" numFmtId="164" xfId="0" applyNumberFormat="1" applyFont="1" applyFill="1" applyBorder="1" applyAlignment="1">
      <alignment horizontal="center" vertical="center" wrapText="1"/>
    </xf>
    <xf fontId="1" fillId="0" borderId="1" numFmtId="2" xfId="0" applyNumberFormat="1" applyFont="1" applyBorder="1" applyAlignment="1">
      <alignment horizontal="center" vertical="center" wrapText="1"/>
    </xf>
    <xf fontId="16" fillId="2" borderId="1" numFmtId="161" xfId="0" applyNumberFormat="1" applyFont="1" applyFill="1" applyBorder="1" applyAlignment="1">
      <alignment horizontal="center" vertical="center"/>
    </xf>
    <xf fontId="1" fillId="0" borderId="0" numFmtId="165" xfId="0" applyNumberFormat="1" applyFont="1"/>
    <xf fontId="6" fillId="4" borderId="1" numFmtId="0" xfId="0" applyFont="1" applyFill="1" applyBorder="1" applyAlignment="1">
      <alignment horizontal="right" vertical="center" wrapText="1"/>
    </xf>
    <xf fontId="7" fillId="0" borderId="1" numFmtId="4" xfId="0" applyNumberFormat="1" applyFont="1" applyBorder="1" applyAlignment="1">
      <alignment horizontal="center" vertical="center" wrapText="1"/>
    </xf>
    <xf fontId="1" fillId="0" borderId="0" numFmtId="166" xfId="0" applyNumberFormat="1" applyFont="1"/>
    <xf fontId="6" fillId="0" borderId="1" numFmtId="0" xfId="0" applyFont="1" applyBorder="1" applyAlignment="1">
      <alignment horizontal="right" vertical="center" wrapText="1"/>
    </xf>
    <xf fontId="1" fillId="0" borderId="0" numFmtId="164" xfId="0" applyNumberFormat="1" applyFont="1"/>
    <xf fontId="1" fillId="0" borderId="0" numFmtId="167" xfId="0" applyNumberFormat="1" applyFont="1"/>
    <xf fontId="17" fillId="0" borderId="0" numFmtId="0" xfId="0" applyFont="1" applyAlignment="1">
      <alignment horizontal="justify" vertical="center"/>
    </xf>
    <xf fontId="3" fillId="0" borderId="0" numFmtId="0" xfId="0" applyFont="1" applyAlignment="1">
      <alignment vertical="center" wrapText="1"/>
    </xf>
    <xf fontId="3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/>
    </xf>
    <xf fontId="17" fillId="0" borderId="0" numFmtId="0" xfId="0" applyFont="1" applyAlignment="1">
      <alignment horizontal="justify" vertical="center" wrapText="1"/>
    </xf>
    <xf fontId="17" fillId="0" borderId="0" numFmtId="0" xfId="0" applyFont="1" applyAlignment="1">
      <alignment horizontal="left" vertical="center" wrapText="1"/>
    </xf>
  </cellXfs>
  <cellStyles count="4">
    <cellStyle name="Обычный" xfId="0" builtinId="0"/>
    <cellStyle name="Обычный 16" xfId="1"/>
    <cellStyle name="Процентный" xfId="2" builtinId="5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G34" activeCellId="0" sqref="G34"/>
    </sheetView>
  </sheetViews>
  <sheetFormatPr defaultColWidth="8.85546875" defaultRowHeight="14.25"/>
  <cols>
    <col customWidth="1" min="1" max="1" style="1" width="7.140625"/>
    <col customWidth="1" min="2" max="2" style="1" width="52.140625"/>
    <col customWidth="1" min="3" max="3" style="1" width="16.85546875"/>
    <col bestFit="1" customWidth="1" min="4" max="4" style="1" width="13.42578125"/>
    <col customWidth="1" min="5" max="5" style="1" width="18.7109375"/>
    <col customWidth="1" min="6" max="6" style="1" width="22.7109375"/>
    <col customWidth="1" min="7" max="7" style="1" width="27.85546875"/>
    <col bestFit="1" customWidth="1" min="8" max="8" style="1" width="17.5703125"/>
    <col bestFit="1" customWidth="1" min="9" max="9" style="1" width="16.28515625"/>
    <col customWidth="1" min="10" max="10" style="1" width="53"/>
    <col min="11" max="16384" style="1" width="8.85546875"/>
  </cols>
  <sheetData>
    <row r="1" ht="15">
      <c r="F1" s="2" t="s">
        <v>0</v>
      </c>
    </row>
    <row r="2" ht="15">
      <c r="F2" s="2" t="s">
        <v>1</v>
      </c>
    </row>
    <row r="3">
      <c r="F3" s="3"/>
    </row>
    <row r="4">
      <c r="F4" s="3"/>
    </row>
    <row r="5" ht="15">
      <c r="F5" s="4"/>
    </row>
    <row r="6">
      <c r="F6" s="5"/>
    </row>
    <row r="7">
      <c r="F7" s="3"/>
    </row>
    <row r="8" ht="15">
      <c r="A8" s="6" t="s">
        <v>2</v>
      </c>
      <c r="B8" s="6"/>
      <c r="C8" s="6"/>
      <c r="D8" s="6"/>
      <c r="E8" s="6"/>
      <c r="F8" s="6"/>
    </row>
    <row r="9">
      <c r="A9" s="7" t="s">
        <v>3</v>
      </c>
      <c r="B9" s="7"/>
      <c r="C9" s="7"/>
      <c r="D9" s="7"/>
      <c r="E9" s="7"/>
      <c r="F9" s="7"/>
    </row>
    <row r="10" ht="29.25" customHeight="1">
      <c r="A10" s="8" t="s">
        <v>4</v>
      </c>
      <c r="B10" s="8"/>
      <c r="C10" s="8"/>
      <c r="D10" s="8"/>
      <c r="E10" s="8"/>
      <c r="F10" s="8"/>
    </row>
    <row r="11" ht="15">
      <c r="B11" s="9"/>
      <c r="C11" s="9"/>
      <c r="D11" s="9"/>
      <c r="E11" s="9"/>
      <c r="F11" s="9"/>
    </row>
    <row r="12" ht="21.75" customHeight="1">
      <c r="A12" s="10" t="s">
        <v>5</v>
      </c>
    </row>
    <row r="13" ht="28.5">
      <c r="A13" s="11" t="s">
        <v>6</v>
      </c>
      <c r="B13" s="11" t="s">
        <v>7</v>
      </c>
      <c r="C13" s="11"/>
      <c r="D13" s="11"/>
      <c r="E13" s="11"/>
      <c r="F13" s="11" t="s">
        <v>8</v>
      </c>
      <c r="G13" s="8"/>
    </row>
    <row r="14" ht="71.25" customHeight="1">
      <c r="A14" s="12">
        <v>1</v>
      </c>
      <c r="B14" s="13" t="s">
        <v>9</v>
      </c>
      <c r="C14" s="13"/>
      <c r="D14" s="13"/>
      <c r="E14" s="13"/>
      <c r="F14" s="14"/>
      <c r="G14" s="15"/>
      <c r="H14" s="16"/>
      <c r="I14" s="16"/>
      <c r="J14" s="16"/>
    </row>
    <row r="15" ht="57" customHeight="1">
      <c r="A15" s="12">
        <v>2</v>
      </c>
      <c r="B15" s="13" t="s">
        <v>10</v>
      </c>
      <c r="C15" s="13"/>
      <c r="D15" s="13"/>
      <c r="E15" s="13"/>
      <c r="F15" s="14"/>
      <c r="G15" s="15"/>
      <c r="H15" s="16"/>
      <c r="I15" s="16"/>
      <c r="J15" s="16"/>
    </row>
    <row r="16" ht="57" customHeight="1">
      <c r="A16" s="12">
        <v>3</v>
      </c>
      <c r="B16" s="13" t="s">
        <v>11</v>
      </c>
      <c r="C16" s="13"/>
      <c r="D16" s="13"/>
      <c r="E16" s="13"/>
      <c r="F16" s="14"/>
      <c r="G16" s="15"/>
      <c r="H16" s="16"/>
      <c r="I16" s="16"/>
      <c r="J16" s="16"/>
    </row>
    <row r="17" ht="57" customHeight="1">
      <c r="A17" s="12">
        <v>4</v>
      </c>
      <c r="B17" s="13" t="s">
        <v>12</v>
      </c>
      <c r="C17" s="13"/>
      <c r="D17" s="13"/>
      <c r="E17" s="13"/>
      <c r="F17" s="14"/>
      <c r="G17" s="15"/>
      <c r="H17" s="16"/>
      <c r="I17" s="16"/>
      <c r="J17" s="16"/>
    </row>
    <row r="18" ht="15">
      <c r="A18" s="12"/>
      <c r="B18" s="17" t="s">
        <v>13</v>
      </c>
      <c r="C18" s="18"/>
      <c r="D18" s="18"/>
      <c r="E18" s="19"/>
      <c r="F18" s="20"/>
      <c r="G18" s="8"/>
      <c r="H18" s="16"/>
      <c r="I18" s="16"/>
      <c r="J18" s="16"/>
    </row>
    <row r="19" ht="15">
      <c r="A19" s="12"/>
      <c r="B19" s="17" t="s">
        <v>14</v>
      </c>
      <c r="C19" s="18"/>
      <c r="D19" s="18"/>
      <c r="E19" s="19"/>
      <c r="F19" s="20"/>
      <c r="G19" s="8"/>
    </row>
    <row r="20" ht="13.9" customHeight="1">
      <c r="A20" s="12"/>
      <c r="B20" s="17" t="s">
        <v>15</v>
      </c>
      <c r="C20" s="18"/>
      <c r="D20" s="18"/>
      <c r="E20" s="19"/>
      <c r="F20" s="20"/>
      <c r="G20" s="8"/>
    </row>
    <row r="21" ht="14.25">
      <c r="B21" s="1"/>
    </row>
    <row r="22" ht="15">
      <c r="A22" s="10" t="s">
        <v>16</v>
      </c>
    </row>
    <row r="23" ht="15">
      <c r="A23" s="21"/>
      <c r="B23" s="22"/>
      <c r="C23" s="22"/>
      <c r="D23" s="22"/>
      <c r="E23" s="23"/>
      <c r="F23" s="24"/>
      <c r="J23" s="25"/>
    </row>
    <row r="24" ht="15.6" customHeight="1">
      <c r="A24" s="26" t="s">
        <v>6</v>
      </c>
      <c r="B24" s="27" t="s">
        <v>17</v>
      </c>
      <c r="C24" s="27" t="s">
        <v>18</v>
      </c>
      <c r="D24" s="28" t="s">
        <v>19</v>
      </c>
      <c r="E24" s="29"/>
      <c r="F24" s="30"/>
    </row>
    <row r="25" ht="28.5">
      <c r="A25" s="26"/>
      <c r="B25" s="31"/>
      <c r="C25" s="31"/>
      <c r="D25" s="32" t="s">
        <v>20</v>
      </c>
      <c r="E25" s="32" t="s">
        <v>21</v>
      </c>
      <c r="F25" s="26" t="s">
        <v>22</v>
      </c>
    </row>
    <row r="26" ht="15.75" customHeight="1">
      <c r="A26" s="33">
        <v>1</v>
      </c>
      <c r="B26" s="33">
        <v>2</v>
      </c>
      <c r="C26" s="33">
        <v>3</v>
      </c>
      <c r="D26" s="33">
        <v>4</v>
      </c>
      <c r="E26" s="33">
        <v>5</v>
      </c>
      <c r="F26" s="33">
        <v>6</v>
      </c>
    </row>
    <row r="27" ht="61.5" customHeight="1">
      <c r="A27" s="34">
        <v>1</v>
      </c>
      <c r="B27" s="34" t="str">
        <f>B14</f>
        <v xml:space="preserve">Формирование базы данных. Литолого-стратиграфическое расчленение разреза по материалам ГИС. Создание петрофизической модели. Переинтерпретация данных ГИС. Анализ результатов сейсморазведочных работ. Выделение и обоснование подсчетных объектов. Построение трехмерной модели.</v>
      </c>
      <c r="C27" s="35"/>
      <c r="D27" s="35"/>
      <c r="E27" s="36"/>
      <c r="F27" s="37"/>
      <c r="G27" s="38"/>
      <c r="H27" s="1"/>
    </row>
    <row r="28" ht="16.5" customHeight="1">
      <c r="A28" s="39">
        <v>1</v>
      </c>
      <c r="B28" s="40" t="s">
        <v>23</v>
      </c>
      <c r="C28" s="41"/>
      <c r="D28" s="39">
        <v>1</v>
      </c>
      <c r="E28" s="42"/>
      <c r="F28" s="20"/>
      <c r="G28" s="38"/>
      <c r="H28" s="43"/>
      <c r="I28" s="44"/>
    </row>
    <row r="29" ht="16.5" customHeight="1">
      <c r="A29" s="39">
        <v>2</v>
      </c>
      <c r="B29" s="40" t="s">
        <v>24</v>
      </c>
      <c r="C29" s="41"/>
      <c r="D29" s="39">
        <v>1</v>
      </c>
      <c r="E29" s="42"/>
      <c r="F29" s="20"/>
      <c r="G29" s="38"/>
      <c r="H29" s="43"/>
      <c r="I29" s="44"/>
    </row>
    <row r="30" ht="16.5" customHeight="1">
      <c r="A30" s="39">
        <v>3</v>
      </c>
      <c r="B30" s="40" t="s">
        <v>25</v>
      </c>
      <c r="C30" s="41"/>
      <c r="D30" s="39">
        <v>1</v>
      </c>
      <c r="E30" s="42"/>
      <c r="F30" s="20"/>
      <c r="G30" s="45"/>
      <c r="H30" s="43"/>
      <c r="I30" s="44"/>
    </row>
    <row r="31" ht="16.5" customHeight="1">
      <c r="A31" s="39">
        <v>4</v>
      </c>
      <c r="B31" s="40" t="s">
        <v>26</v>
      </c>
      <c r="C31" s="41"/>
      <c r="D31" s="39">
        <v>1</v>
      </c>
      <c r="E31" s="42"/>
      <c r="F31" s="20"/>
      <c r="G31" s="45"/>
      <c r="H31" s="43"/>
      <c r="I31" s="44"/>
    </row>
    <row r="32" ht="16.5" customHeight="1">
      <c r="A32" s="39">
        <v>5</v>
      </c>
      <c r="B32" s="40" t="s">
        <v>27</v>
      </c>
      <c r="C32" s="41"/>
      <c r="D32" s="39"/>
      <c r="E32" s="42"/>
      <c r="F32" s="20"/>
      <c r="G32" s="46"/>
      <c r="H32" s="43"/>
      <c r="I32" s="44"/>
      <c r="J32" s="47"/>
    </row>
    <row r="33" ht="32.25" customHeight="1">
      <c r="A33" s="34">
        <v>1</v>
      </c>
      <c r="B33" s="34" t="str">
        <f>B15</f>
        <v xml:space="preserve">Построение двухмерной модели, подсчет начальных геологических запасов УВ.</v>
      </c>
      <c r="C33" s="35"/>
      <c r="D33" s="35"/>
      <c r="E33" s="36"/>
      <c r="F33" s="37"/>
      <c r="G33" s="48"/>
      <c r="H33" s="47"/>
      <c r="I33" s="1"/>
      <c r="J33" s="47"/>
    </row>
    <row r="34" ht="16.5" customHeight="1">
      <c r="A34" s="39">
        <v>1</v>
      </c>
      <c r="B34" s="40" t="s">
        <v>23</v>
      </c>
      <c r="C34" s="41"/>
      <c r="D34" s="39">
        <v>1</v>
      </c>
      <c r="E34" s="42"/>
      <c r="F34" s="20"/>
      <c r="G34" s="48"/>
      <c r="H34" s="47"/>
      <c r="I34" s="1"/>
    </row>
    <row r="35" ht="16.5" customHeight="1">
      <c r="A35" s="39">
        <v>2</v>
      </c>
      <c r="B35" s="40" t="s">
        <v>24</v>
      </c>
      <c r="C35" s="41"/>
      <c r="D35" s="39">
        <v>1</v>
      </c>
      <c r="E35" s="42"/>
      <c r="F35" s="20"/>
      <c r="G35" s="48"/>
      <c r="H35" s="47"/>
      <c r="I35" s="1"/>
    </row>
    <row r="36" ht="16.5" customHeight="1">
      <c r="A36" s="39">
        <v>3</v>
      </c>
      <c r="B36" s="40" t="s">
        <v>25</v>
      </c>
      <c r="C36" s="41"/>
      <c r="D36" s="39">
        <v>1</v>
      </c>
      <c r="E36" s="42"/>
      <c r="F36" s="20"/>
      <c r="G36" s="48"/>
      <c r="H36" s="47"/>
      <c r="I36" s="1"/>
    </row>
    <row r="37" ht="16.5" customHeight="1">
      <c r="A37" s="39">
        <v>4</v>
      </c>
      <c r="B37" s="40" t="s">
        <v>27</v>
      </c>
      <c r="C37" s="41"/>
      <c r="D37" s="39"/>
      <c r="E37" s="42"/>
      <c r="F37" s="20"/>
      <c r="G37" s="46"/>
      <c r="H37" s="47"/>
      <c r="I37" s="1"/>
    </row>
    <row r="38" ht="32.25" customHeight="1">
      <c r="A38" s="34">
        <v>1</v>
      </c>
      <c r="B38" s="34" t="str">
        <f>B16</f>
        <v xml:space="preserve">Подготовка разделов отчета по подсчету геологических запасов УВ. Оформление отчета по подсчету геологических запасов УВ.  Согласование материалов ПЗ на ГТС Заказчика. </v>
      </c>
      <c r="C38" s="35"/>
      <c r="D38" s="35"/>
      <c r="E38" s="36"/>
      <c r="F38" s="37"/>
      <c r="G38" s="48"/>
      <c r="H38" s="47"/>
      <c r="I38" s="1"/>
    </row>
    <row r="39" ht="16.5" customHeight="1">
      <c r="A39" s="39">
        <v>1</v>
      </c>
      <c r="B39" s="40" t="s">
        <v>23</v>
      </c>
      <c r="C39" s="41"/>
      <c r="D39" s="39">
        <v>1</v>
      </c>
      <c r="E39" s="42"/>
      <c r="F39" s="20"/>
      <c r="G39" s="48"/>
      <c r="H39" s="47"/>
      <c r="I39" s="1"/>
    </row>
    <row r="40" ht="16.5" customHeight="1">
      <c r="A40" s="39">
        <v>2</v>
      </c>
      <c r="B40" s="40" t="s">
        <v>24</v>
      </c>
      <c r="C40" s="41"/>
      <c r="D40" s="39">
        <v>1</v>
      </c>
      <c r="E40" s="42"/>
      <c r="F40" s="20"/>
      <c r="G40" s="48"/>
      <c r="H40" s="47"/>
      <c r="I40" s="1"/>
    </row>
    <row r="41" ht="16.5" customHeight="1">
      <c r="A41" s="39">
        <v>3</v>
      </c>
      <c r="B41" s="40" t="s">
        <v>25</v>
      </c>
      <c r="C41" s="41"/>
      <c r="D41" s="39">
        <v>1</v>
      </c>
      <c r="E41" s="42"/>
      <c r="F41" s="20"/>
      <c r="G41" s="48"/>
      <c r="H41" s="47"/>
      <c r="I41" s="1"/>
    </row>
    <row r="42" ht="16.5" customHeight="1">
      <c r="A42" s="39">
        <v>4</v>
      </c>
      <c r="B42" s="40" t="s">
        <v>27</v>
      </c>
      <c r="C42" s="41"/>
      <c r="D42" s="39"/>
      <c r="E42" s="42"/>
      <c r="F42" s="20"/>
      <c r="G42" s="46"/>
      <c r="H42" s="47"/>
      <c r="I42" s="1"/>
    </row>
    <row r="43" ht="36" customHeight="1">
      <c r="A43" s="34">
        <v>1</v>
      </c>
      <c r="B43" s="34" t="str">
        <f>B17</f>
        <v xml:space="preserve">Экспертиза и защита ПЗ в ФБУ ГКЗ. Оформление итогового отчета и  передача Заказчику, в фонды. Актуализация паспорта месторождения</v>
      </c>
      <c r="C43" s="35"/>
      <c r="D43" s="35"/>
      <c r="E43" s="36"/>
      <c r="F43" s="37"/>
      <c r="G43" s="48"/>
      <c r="H43" s="47"/>
      <c r="I43" s="1"/>
    </row>
    <row r="44" ht="16.5" customHeight="1">
      <c r="A44" s="39">
        <v>1</v>
      </c>
      <c r="B44" s="40" t="s">
        <v>23</v>
      </c>
      <c r="C44" s="41"/>
      <c r="D44" s="39">
        <v>1</v>
      </c>
      <c r="E44" s="42"/>
      <c r="F44" s="20"/>
      <c r="G44" s="48"/>
      <c r="H44" s="47"/>
      <c r="I44" s="1"/>
    </row>
    <row r="45" ht="16.5" customHeight="1">
      <c r="A45" s="39">
        <v>2</v>
      </c>
      <c r="B45" s="40" t="s">
        <v>24</v>
      </c>
      <c r="C45" s="41"/>
      <c r="D45" s="39">
        <v>1</v>
      </c>
      <c r="E45" s="42"/>
      <c r="F45" s="20"/>
      <c r="G45" s="48"/>
      <c r="H45" s="47"/>
      <c r="I45" s="1"/>
    </row>
    <row r="46" ht="16.5" customHeight="1">
      <c r="A46" s="39">
        <v>3</v>
      </c>
      <c r="B46" s="40" t="s">
        <v>25</v>
      </c>
      <c r="C46" s="41"/>
      <c r="D46" s="39">
        <v>1</v>
      </c>
      <c r="E46" s="42"/>
      <c r="F46" s="20"/>
      <c r="G46" s="48"/>
      <c r="H46" s="47"/>
      <c r="I46" s="1"/>
    </row>
    <row r="47" ht="16.5" customHeight="1">
      <c r="A47" s="39">
        <v>4</v>
      </c>
      <c r="B47" s="40" t="s">
        <v>27</v>
      </c>
      <c r="C47" s="41"/>
      <c r="D47" s="39"/>
      <c r="E47" s="42"/>
      <c r="F47" s="20"/>
      <c r="G47" s="46"/>
      <c r="H47" s="47"/>
      <c r="I47" s="1"/>
    </row>
    <row r="48" ht="16.5" customHeight="1">
      <c r="A48" s="33"/>
      <c r="B48" s="17" t="s">
        <v>13</v>
      </c>
      <c r="C48" s="18"/>
      <c r="D48" s="18"/>
      <c r="E48" s="19"/>
      <c r="F48" s="20"/>
      <c r="G48" s="48"/>
      <c r="H48" s="44"/>
      <c r="I48" s="44"/>
    </row>
    <row r="49" ht="16.5" customHeight="1">
      <c r="A49" s="33"/>
      <c r="B49" s="17" t="s">
        <v>14</v>
      </c>
      <c r="C49" s="18"/>
      <c r="D49" s="18"/>
      <c r="E49" s="19"/>
      <c r="F49" s="20"/>
      <c r="G49" s="38"/>
      <c r="H49" s="47"/>
      <c r="I49" s="1"/>
    </row>
    <row r="50" ht="16.5" customHeight="1">
      <c r="A50" s="33"/>
      <c r="B50" s="17" t="s">
        <v>15</v>
      </c>
      <c r="C50" s="18"/>
      <c r="D50" s="18"/>
      <c r="E50" s="19"/>
      <c r="F50" s="20"/>
    </row>
    <row r="52" ht="30" customHeight="1">
      <c r="B52" s="49" t="s">
        <v>28</v>
      </c>
      <c r="C52" s="50"/>
      <c r="D52" s="51" t="s">
        <v>29</v>
      </c>
      <c r="E52" s="51"/>
    </row>
    <row r="53" ht="15">
      <c r="B53" s="10"/>
      <c r="D53" s="51"/>
      <c r="E53" s="51"/>
      <c r="F53" s="47"/>
    </row>
    <row r="54" ht="39" customHeight="1">
      <c r="B54" s="52"/>
      <c r="C54" s="52"/>
      <c r="D54" s="53"/>
      <c r="E54" s="53"/>
      <c r="F54" s="53"/>
    </row>
    <row r="55">
      <c r="C55" s="54"/>
      <c r="D55" s="55"/>
    </row>
    <row r="56" ht="17.25" customHeight="1">
      <c r="B56" s="56" t="s">
        <v>30</v>
      </c>
      <c r="D56" s="57" t="s">
        <v>31</v>
      </c>
      <c r="E56" s="57"/>
      <c r="F56" s="57"/>
    </row>
    <row r="57">
      <c r="B57" s="1" t="s">
        <v>32</v>
      </c>
      <c r="D57" s="1" t="s">
        <v>32</v>
      </c>
    </row>
    <row r="58" ht="15">
      <c r="D58" s="58"/>
    </row>
  </sheetData>
  <mergeCells count="32">
    <mergeCell ref="A8:F8"/>
    <mergeCell ref="A9:F9"/>
    <mergeCell ref="A10:F10"/>
    <mergeCell ref="B13:E13"/>
    <mergeCell ref="B14:E14"/>
    <mergeCell ref="H14:J14"/>
    <mergeCell ref="B15:E15"/>
    <mergeCell ref="H15:J15"/>
    <mergeCell ref="B16:E16"/>
    <mergeCell ref="H16:J16"/>
    <mergeCell ref="B17:E17"/>
    <mergeCell ref="H17:J17"/>
    <mergeCell ref="B18:E18"/>
    <mergeCell ref="H18:J18"/>
    <mergeCell ref="B19:E19"/>
    <mergeCell ref="B20:E20"/>
    <mergeCell ref="A24:A25"/>
    <mergeCell ref="B24:B25"/>
    <mergeCell ref="C24:C25"/>
    <mergeCell ref="D24:F24"/>
    <mergeCell ref="B27:E27"/>
    <mergeCell ref="B33:E33"/>
    <mergeCell ref="B38:E38"/>
    <mergeCell ref="B43:E43"/>
    <mergeCell ref="B48:E48"/>
    <mergeCell ref="B49:E49"/>
    <mergeCell ref="B50:E50"/>
    <mergeCell ref="B52:C52"/>
    <mergeCell ref="D52:E52"/>
    <mergeCell ref="D53:E53"/>
    <mergeCell ref="D54:F54"/>
    <mergeCell ref="D56:F56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7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B5" activeCellId="0" sqref="B5:B8"/>
    </sheetView>
  </sheetViews>
  <sheetFormatPr defaultRowHeight="14.25"/>
  <cols>
    <col customWidth="1" min="2" max="2" width="27.28515625"/>
    <col customWidth="1" min="3" max="3" width="13.85546875"/>
    <col customWidth="1" min="6" max="6" width="17.7109375"/>
  </cols>
  <sheetData>
    <row r="1" s="1" customFormat="1">
      <c r="A1" s="10" t="s">
        <v>16</v>
      </c>
    </row>
    <row r="2" s="1" customFormat="1" ht="21.75" customHeight="1">
      <c r="A2" s="59" t="s">
        <v>6</v>
      </c>
      <c r="B2" s="59" t="s">
        <v>17</v>
      </c>
      <c r="C2" s="60" t="s">
        <v>18</v>
      </c>
      <c r="D2" s="60" t="s">
        <v>19</v>
      </c>
      <c r="E2" s="60"/>
      <c r="F2" s="60"/>
    </row>
    <row r="3" s="1" customFormat="1" ht="21">
      <c r="A3" s="59"/>
      <c r="B3" s="59"/>
      <c r="C3" s="60"/>
      <c r="D3" s="59" t="s">
        <v>20</v>
      </c>
      <c r="E3" s="59" t="s">
        <v>21</v>
      </c>
      <c r="F3" s="60" t="s">
        <v>33</v>
      </c>
    </row>
    <row r="4" s="1" customFormat="1" ht="14.25">
      <c r="A4" s="61">
        <v>1</v>
      </c>
      <c r="B4" s="61">
        <v>2</v>
      </c>
      <c r="C4" s="61">
        <v>4</v>
      </c>
      <c r="D4" s="61">
        <v>5</v>
      </c>
      <c r="E4" s="61">
        <v>6</v>
      </c>
      <c r="F4" s="61">
        <v>7</v>
      </c>
    </row>
    <row r="5" s="1" customFormat="1" ht="14.25">
      <c r="A5" s="33">
        <v>1</v>
      </c>
      <c r="B5" s="62" t="s">
        <v>34</v>
      </c>
      <c r="C5" s="63">
        <v>1000</v>
      </c>
      <c r="D5" s="64">
        <v>0.40000000000000002</v>
      </c>
      <c r="E5" s="65">
        <f t="shared" ref="E5:E8" si="0">ROUND(D5*249,3)</f>
        <v>99.600000000000009</v>
      </c>
      <c r="F5" s="66">
        <f t="shared" ref="F5:F8" si="1">IFERROR(C5*E5,"указать параметры")</f>
        <v>99600.000000000015</v>
      </c>
    </row>
    <row r="6" s="1" customFormat="1" ht="14.25">
      <c r="A6" s="33">
        <v>2</v>
      </c>
      <c r="B6" s="62" t="s">
        <v>35</v>
      </c>
      <c r="C6" s="63">
        <v>1000</v>
      </c>
      <c r="D6" s="64">
        <v>2.46</v>
      </c>
      <c r="E6" s="65">
        <f t="shared" si="0"/>
        <v>612.53999999999996</v>
      </c>
      <c r="F6" s="66">
        <f t="shared" si="1"/>
        <v>612540</v>
      </c>
      <c r="G6" s="67"/>
    </row>
    <row r="7" s="1" customFormat="1" ht="14.25">
      <c r="A7" s="33">
        <v>3</v>
      </c>
      <c r="B7" s="62" t="s">
        <v>36</v>
      </c>
      <c r="C7" s="63">
        <v>1000</v>
      </c>
      <c r="D7" s="64">
        <v>0.41999999999999998</v>
      </c>
      <c r="E7" s="65">
        <f t="shared" si="0"/>
        <v>104.58</v>
      </c>
      <c r="F7" s="66">
        <f t="shared" si="1"/>
        <v>104580</v>
      </c>
      <c r="G7" s="67"/>
    </row>
    <row r="8" s="1" customFormat="1" ht="14.25">
      <c r="A8" s="33">
        <v>4</v>
      </c>
      <c r="B8" s="62" t="s">
        <v>37</v>
      </c>
      <c r="C8" s="63">
        <v>1000</v>
      </c>
      <c r="D8" s="64">
        <v>0.32000000000000001</v>
      </c>
      <c r="E8" s="65">
        <f t="shared" si="0"/>
        <v>79.680000000000007</v>
      </c>
      <c r="F8" s="66">
        <f t="shared" si="1"/>
        <v>79680</v>
      </c>
      <c r="G8" s="67"/>
    </row>
    <row r="9" s="1" customFormat="1">
      <c r="A9" s="33"/>
      <c r="B9" s="68" t="s">
        <v>13</v>
      </c>
      <c r="C9" s="68"/>
      <c r="D9" s="68"/>
      <c r="E9" s="65">
        <f>SUM(E5:E8)</f>
        <v>896.40000000000009</v>
      </c>
      <c r="F9" s="69">
        <f>SUM(F5:F8)</f>
        <v>896400</v>
      </c>
      <c r="G9" s="70"/>
    </row>
    <row r="10" s="1" customFormat="1">
      <c r="A10" s="33"/>
      <c r="B10" s="71" t="s">
        <v>38</v>
      </c>
      <c r="C10" s="71"/>
      <c r="D10" s="71"/>
      <c r="E10" s="12"/>
      <c r="F10" s="69">
        <f>F9*0.2</f>
        <v>179280</v>
      </c>
      <c r="G10" s="70"/>
      <c r="I10" s="72"/>
    </row>
    <row r="11" s="1" customFormat="1">
      <c r="A11" s="33"/>
      <c r="B11" s="71" t="s">
        <v>15</v>
      </c>
      <c r="C11" s="71"/>
      <c r="D11" s="71"/>
      <c r="E11" s="12"/>
      <c r="F11" s="69">
        <f>F9*1.2</f>
        <v>1075680</v>
      </c>
    </row>
    <row r="12" s="1" customFormat="1">
      <c r="A12" s="21"/>
      <c r="B12" s="22"/>
      <c r="C12" s="22"/>
      <c r="D12" s="22"/>
      <c r="E12" s="23"/>
      <c r="F12" s="24"/>
    </row>
    <row r="13" s="1" customFormat="1" ht="14.25">
      <c r="G13" s="73"/>
    </row>
    <row r="14" s="1" customFormat="1" ht="15" customHeight="1">
      <c r="B14" s="74" t="s">
        <v>39</v>
      </c>
      <c r="C14" s="75"/>
      <c r="F14" s="76"/>
      <c r="G14" s="77"/>
      <c r="I14" s="72"/>
    </row>
    <row r="15" s="1" customFormat="1" ht="28.5" customHeight="1">
      <c r="B15" s="78" t="s">
        <v>40</v>
      </c>
      <c r="C15" s="75"/>
      <c r="E15" s="78" t="s">
        <v>41</v>
      </c>
      <c r="F15" s="75"/>
      <c r="G15" s="75"/>
    </row>
    <row r="16" s="1" customFormat="1" ht="39.600000000000001" customHeight="1">
      <c r="B16" s="78"/>
      <c r="C16" s="75"/>
      <c r="E16" s="79"/>
      <c r="F16" s="79"/>
      <c r="G16" s="75"/>
    </row>
    <row r="17" s="1" customFormat="1" ht="26.449999999999999" customHeight="1">
      <c r="B17" s="78" t="s">
        <v>42</v>
      </c>
      <c r="C17" s="75"/>
      <c r="E17" s="79" t="s">
        <v>42</v>
      </c>
      <c r="F17" s="79"/>
      <c r="G17" s="75"/>
    </row>
    <row r="18" s="1" customFormat="1" ht="14.25"/>
  </sheetData>
  <mergeCells count="9">
    <mergeCell ref="A2:A3"/>
    <mergeCell ref="B2:B3"/>
    <mergeCell ref="C2:C3"/>
    <mergeCell ref="D2:F2"/>
    <mergeCell ref="B9:D9"/>
    <mergeCell ref="B10:D10"/>
    <mergeCell ref="B11:D11"/>
    <mergeCell ref="E16:F16"/>
    <mergeCell ref="E17:F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navalikhin.pi</cp:lastModifiedBy>
  <cp:revision>6</cp:revision>
  <dcterms:created xsi:type="dcterms:W3CDTF">2006-09-16T00:00:00Z</dcterms:created>
  <dcterms:modified xsi:type="dcterms:W3CDTF">2026-08-03T10:44:53Z</dcterms:modified>
</cp:coreProperties>
</file>